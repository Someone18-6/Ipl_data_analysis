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PL ANALYSIS" sheetId="1" r:id="rId5"/>
    <sheet state="visible" name="Pivot Table 1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<sst xmlns="http://schemas.openxmlformats.org/spreadsheetml/2006/main" count="121" uniqueCount="25">
  <si>
    <t>Match</t>
  </si>
  <si>
    <t>Team</t>
  </si>
  <si>
    <t>Opponent</t>
  </si>
  <si>
    <t>Runs</t>
  </si>
  <si>
    <t>Wickets</t>
  </si>
  <si>
    <t>Result</t>
  </si>
  <si>
    <t xml:space="preserve"> </t>
  </si>
  <si>
    <t>RCB</t>
  </si>
  <si>
    <t>CSK</t>
  </si>
  <si>
    <t>Win</t>
  </si>
  <si>
    <t>MI</t>
  </si>
  <si>
    <t>Lose</t>
  </si>
  <si>
    <t>SRH</t>
  </si>
  <si>
    <t>KKR</t>
  </si>
  <si>
    <t>GT</t>
  </si>
  <si>
    <t>PBKS</t>
  </si>
  <si>
    <t>Wins</t>
  </si>
  <si>
    <t>Matches</t>
  </si>
  <si>
    <t>Win %</t>
  </si>
  <si>
    <t>Rank</t>
  </si>
  <si>
    <t>Values</t>
  </si>
  <si>
    <t>Grand Total</t>
  </si>
  <si>
    <t>AVERAGE of Runs</t>
  </si>
  <si>
    <t>SUM of Runs</t>
  </si>
  <si>
    <t>COUNTA of Result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</si>
</sst>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center" readingOrder="0" shrinkToFit="0" vertical="center" wrapText="0"/>
    </xf>
    <xf borderId="0" fillId="0" fontId="2" numFmtId="10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0" xfId="0" applyAlignment="1" applyFont="1" applyNumberFormat="1">
      <alignment shrinkToFit="0" vertical="center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FFFF00"/>
      </font>
      <fill>
        <patternFill patternType="solid">
          <fgColor rgb="FFFFFF00"/>
          <bgColor rgb="FFFFFF00"/>
        </patternFill>
      </fill>
      <border/>
    </dxf>
    <dxf>
      <font>
        <color rgb="FF00FF00"/>
      </font>
      <fill>
        <patternFill patternType="solid">
          <fgColor rgb="FF00FF00"/>
          <bgColor rgb="FF00FF00"/>
        </patternFill>
      </fill>
      <border/>
    </dxf>
    <dxf>
      <font>
        <color rgb="FFFF0000"/>
      </font>
      <fill>
        <patternFill patternType="solid">
          <fgColor rgb="FFFF0000"/>
          <bgColor rgb="FFFF0000"/>
        </patternFill>
      </fill>
      <border/>
    </dxf>
  </dxfs>
  <tableStyles count="1">
    <tableStyle count="4" pivot="0" name="IPL ANALYSI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438150</xdr:colOff>
      <xdr:row>0</xdr:row>
      <xdr:rowOff>104775</xdr:rowOff>
    </xdr:from>
    <xdr:ext cx="5715000" cy="3533775"/>
    <xdr:pic>
      <xdr:nvPicPr>
        <xdr:cNvPr id="77722867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933450</xdr:colOff>
      <xdr:row>18</xdr:row>
      <xdr:rowOff>142875</xdr:rowOff>
    </xdr:from>
    <xdr:ext cx="5715000" cy="3533775"/>
    <xdr:pic>
      <xdr:nvPicPr>
        <xdr:cNvPr id="747105264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21" sheet="IPL ANALYSIS"/>
  </cacheSource>
  <cacheFields>
    <cacheField name="Match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</sharedItems>
    </cacheField>
    <cacheField name="Team" numFmtId="0">
      <sharedItems>
        <s v="RCB"/>
        <s v="CSK"/>
        <s v="MI"/>
        <s v="SRH"/>
        <s v="KKR"/>
        <s v="GT"/>
        <s v="PBKS"/>
      </sharedItems>
    </cacheField>
    <cacheField name="Opponent" numFmtId="0">
      <sharedItems>
        <s v="CSK"/>
        <s v="MI"/>
        <s v="SRH"/>
        <s v="RCB"/>
        <s v="GT"/>
        <s v="KKR"/>
        <s v="PBKS"/>
      </sharedItems>
    </cacheField>
    <cacheField name="Runs" numFmtId="0">
      <sharedItems containsSemiMixedTypes="0" containsString="0" containsNumber="1" containsInteger="1">
        <n v="210.0"/>
        <n v="178.0"/>
        <n v="190.0"/>
        <n v="201.0"/>
        <n v="165.0"/>
        <n v="185.0"/>
        <n v="222.0"/>
        <n v="176.0"/>
        <n v="198.0"/>
        <n v="205.0"/>
        <n v="187.0"/>
        <n v="214.0"/>
        <n v="169.0"/>
        <n v="192.0"/>
        <n v="230.0"/>
        <n v="181.0"/>
        <n v="199.0"/>
        <n v="172.0"/>
        <n v="208.0"/>
        <n v="195.0"/>
      </sharedItems>
    </cacheField>
    <cacheField name="Wickets" numFmtId="0">
      <sharedItems containsSemiMixedTypes="0" containsString="0" containsNumber="1" containsInteger="1">
        <n v="5.0"/>
        <n v="8.0"/>
        <n v="6.0"/>
        <n v="4.0"/>
        <n v="9.0"/>
        <n v="7.0"/>
        <n v="3.0"/>
        <n v="2.0"/>
      </sharedItems>
    </cacheField>
    <cacheField name="Result" numFmtId="0">
      <sharedItems>
        <s v="Win"/>
        <s v="Lose"/>
      </sharedItems>
    </cacheField>
    <cacheField name=" ">
      <sharedItems containsBlank="1" containsMixedTypes="1" containsNumber="1" containsInteger="1">
        <m/>
        <s v=" Average Runs=  193.85"/>
        <s v="Maximum Runs= 230"/>
        <s v="RCB won = 4"/>
        <n v="12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3:Y13" firstHeaderRow="0" firstDataRow="2" firstDataCol="1" rowPageCount="1" colPageCount="1"/>
  <pivotFields>
    <pivotField name="Matc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eam" axis="axisRow" compact="0" outline="0" multipleItemSelectionAllowed="1" showAll="0" sortType="ascending">
      <items>
        <item x="1"/>
        <item x="5"/>
        <item x="4"/>
        <item x="2"/>
        <item x="6"/>
        <item x="0"/>
        <item x="3"/>
        <item t="default"/>
      </items>
    </pivotField>
    <pivotField name="Opponent" axis="axisCol" compact="0" outline="0" multipleItemSelectionAllowed="1" showAll="0" sortType="ascending">
      <items>
        <item x="0"/>
        <item x="4"/>
        <item x="5"/>
        <item x="1"/>
        <item x="6"/>
        <item x="3"/>
        <item x="2"/>
        <item t="default"/>
      </items>
    </pivotField>
    <pivotField name="Run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Wicket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Result" axis="axisPage" dataField="1" compact="0" outline="0" multipleItemSelectionAllowed="1" showAll="0">
      <items>
        <item x="0"/>
        <item x="1"/>
        <item t="default"/>
      </items>
    </pivotField>
    <pivotField name=" 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"/>
  </rowFields>
  <colFields>
    <field x="2"/>
    <field x="-2"/>
  </colFields>
  <pageFields>
    <pageField fld="5"/>
  </pageFields>
  <dataFields>
    <dataField name="AVERAGE of Runs" fld="3" subtotal="average" baseField="0"/>
    <dataField name="SUM of Runs" fld="3" baseField="0"/>
    <dataField name="COUNTA of Result" fld="5" subtotal="count" baseField="0"/>
  </dataFields>
</pivotTableDefinition>
</file>

<file path=xl/tables/table1.xml><?xml version="1.0" encoding="utf-8"?>
<table xmlns="http://schemas.openxmlformats.org/spreadsheetml/2006/main" ref="A26:E32" displayName="Table1" name="Table1" id="1">
  <tableColumns count="5">
    <tableColumn name="Team" id="1"/>
    <tableColumn name="Wins" id="2"/>
    <tableColumn name="Matches" id="3"/>
    <tableColumn name="Win %" id="4"/>
    <tableColumn name="Rank" id="5"/>
  </tableColumns>
  <tableStyleInfo name="IPL ANALYSI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25"/>
    <col customWidth="1" min="7" max="7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1">
        <v>1.0</v>
      </c>
      <c r="B2" s="1" t="s">
        <v>7</v>
      </c>
      <c r="C2" s="1" t="s">
        <v>8</v>
      </c>
      <c r="D2" s="1">
        <v>210.0</v>
      </c>
      <c r="E2" s="1">
        <v>5.0</v>
      </c>
      <c r="F2" s="1" t="s">
        <v>9</v>
      </c>
    </row>
    <row r="3">
      <c r="A3" s="1">
        <v>2.0</v>
      </c>
      <c r="B3" s="1" t="s">
        <v>7</v>
      </c>
      <c r="C3" s="1" t="s">
        <v>10</v>
      </c>
      <c r="D3" s="1">
        <v>178.0</v>
      </c>
      <c r="E3" s="1">
        <v>8.0</v>
      </c>
      <c r="F3" s="1" t="s">
        <v>11</v>
      </c>
      <c r="G3" s="1" t="str">
        <f>" Average Runs=  " &amp;AVERAGE(D2:D21)</f>
        <v> Average Runs=  193.85</v>
      </c>
    </row>
    <row r="4">
      <c r="A4" s="1">
        <v>3.0</v>
      </c>
      <c r="B4" s="1" t="s">
        <v>8</v>
      </c>
      <c r="C4" s="1" t="s">
        <v>10</v>
      </c>
      <c r="D4" s="1">
        <v>190.0</v>
      </c>
      <c r="E4" s="1">
        <v>6.0</v>
      </c>
      <c r="F4" s="1" t="s">
        <v>9</v>
      </c>
    </row>
    <row r="5">
      <c r="A5" s="1">
        <v>4.0</v>
      </c>
      <c r="B5" s="1" t="s">
        <v>10</v>
      </c>
      <c r="C5" s="1" t="s">
        <v>12</v>
      </c>
      <c r="D5" s="1">
        <v>201.0</v>
      </c>
      <c r="E5" s="1">
        <v>4.0</v>
      </c>
      <c r="F5" s="1" t="s">
        <v>9</v>
      </c>
      <c r="G5" s="2" t="str">
        <f> "Maximum Runs= " &amp; MAX(D2:D21)</f>
        <v>Maximum Runs= 230</v>
      </c>
    </row>
    <row r="6">
      <c r="A6" s="1">
        <v>5.0</v>
      </c>
      <c r="B6" s="1" t="s">
        <v>12</v>
      </c>
      <c r="C6" s="1" t="s">
        <v>7</v>
      </c>
      <c r="D6" s="1">
        <v>165.0</v>
      </c>
      <c r="E6" s="1">
        <v>9.0</v>
      </c>
      <c r="F6" s="1" t="s">
        <v>11</v>
      </c>
    </row>
    <row r="7">
      <c r="A7" s="1">
        <v>6.0</v>
      </c>
      <c r="B7" s="1" t="s">
        <v>13</v>
      </c>
      <c r="C7" s="1" t="s">
        <v>7</v>
      </c>
      <c r="D7" s="1">
        <v>185.0</v>
      </c>
      <c r="E7" s="1">
        <v>7.0</v>
      </c>
      <c r="F7" s="1" t="s">
        <v>9</v>
      </c>
    </row>
    <row r="8">
      <c r="A8" s="1">
        <v>7.0</v>
      </c>
      <c r="B8" s="1" t="s">
        <v>7</v>
      </c>
      <c r="C8" s="1" t="s">
        <v>14</v>
      </c>
      <c r="D8" s="1">
        <v>222.0</v>
      </c>
      <c r="E8" s="1">
        <v>3.0</v>
      </c>
      <c r="F8" s="1" t="s">
        <v>9</v>
      </c>
      <c r="G8" s="2" t="str">
        <f>"RCB won = " &amp; COUNTIFS(B2:B21,"RCB",F2:F21,"Win")</f>
        <v>RCB won = 4</v>
      </c>
    </row>
    <row r="9">
      <c r="A9" s="1">
        <v>8.0</v>
      </c>
      <c r="B9" s="1" t="s">
        <v>8</v>
      </c>
      <c r="C9" s="1" t="s">
        <v>12</v>
      </c>
      <c r="D9" s="1">
        <v>176.0</v>
      </c>
      <c r="E9" s="1">
        <v>8.0</v>
      </c>
      <c r="F9" s="1" t="s">
        <v>11</v>
      </c>
    </row>
    <row r="10">
      <c r="A10" s="1">
        <v>9.0</v>
      </c>
      <c r="B10" s="1" t="s">
        <v>10</v>
      </c>
      <c r="C10" s="1" t="s">
        <v>7</v>
      </c>
      <c r="D10" s="1">
        <v>198.0</v>
      </c>
      <c r="E10" s="1">
        <v>5.0</v>
      </c>
      <c r="F10" s="1" t="s">
        <v>9</v>
      </c>
    </row>
    <row r="11">
      <c r="A11" s="1">
        <v>10.0</v>
      </c>
      <c r="B11" s="1" t="s">
        <v>14</v>
      </c>
      <c r="C11" s="1" t="s">
        <v>13</v>
      </c>
      <c r="D11" s="1">
        <v>205.0</v>
      </c>
      <c r="E11" s="1">
        <v>4.0</v>
      </c>
      <c r="F11" s="1" t="s">
        <v>9</v>
      </c>
    </row>
    <row r="12">
      <c r="A12" s="1">
        <v>11.0</v>
      </c>
      <c r="B12" s="1" t="s">
        <v>12</v>
      </c>
      <c r="C12" s="1" t="s">
        <v>10</v>
      </c>
      <c r="D12" s="1">
        <v>187.0</v>
      </c>
      <c r="E12" s="1">
        <v>6.0</v>
      </c>
      <c r="F12" s="1" t="s">
        <v>11</v>
      </c>
    </row>
    <row r="13">
      <c r="A13" s="1">
        <v>12.0</v>
      </c>
      <c r="B13" s="1" t="s">
        <v>7</v>
      </c>
      <c r="C13" s="1" t="s">
        <v>15</v>
      </c>
      <c r="D13" s="1">
        <v>214.0</v>
      </c>
      <c r="E13" s="1">
        <v>5.0</v>
      </c>
      <c r="F13" s="1" t="s">
        <v>9</v>
      </c>
    </row>
    <row r="14">
      <c r="A14" s="1">
        <v>13.0</v>
      </c>
      <c r="B14" s="1" t="s">
        <v>15</v>
      </c>
      <c r="C14" s="1" t="s">
        <v>8</v>
      </c>
      <c r="D14" s="1">
        <v>169.0</v>
      </c>
      <c r="E14" s="1">
        <v>9.0</v>
      </c>
      <c r="F14" s="1" t="s">
        <v>11</v>
      </c>
      <c r="G14" s="2">
        <f>COUNTIF(F2:F21,"Win")</f>
        <v>12</v>
      </c>
    </row>
    <row r="15">
      <c r="A15" s="1">
        <v>14.0</v>
      </c>
      <c r="B15" s="1" t="s">
        <v>13</v>
      </c>
      <c r="C15" s="1" t="s">
        <v>10</v>
      </c>
      <c r="D15" s="1">
        <v>192.0</v>
      </c>
      <c r="E15" s="1">
        <v>7.0</v>
      </c>
      <c r="F15" s="1" t="s">
        <v>9</v>
      </c>
    </row>
    <row r="16">
      <c r="A16" s="1">
        <v>15.0</v>
      </c>
      <c r="B16" s="1" t="s">
        <v>7</v>
      </c>
      <c r="C16" s="1" t="s">
        <v>12</v>
      </c>
      <c r="D16" s="1">
        <v>230.0</v>
      </c>
      <c r="E16" s="1">
        <v>2.0</v>
      </c>
      <c r="F16" s="1" t="s">
        <v>9</v>
      </c>
    </row>
    <row r="17">
      <c r="A17" s="1">
        <v>16.0</v>
      </c>
      <c r="B17" s="1" t="s">
        <v>14</v>
      </c>
      <c r="C17" s="1" t="s">
        <v>7</v>
      </c>
      <c r="D17" s="1">
        <v>181.0</v>
      </c>
      <c r="E17" s="1">
        <v>8.0</v>
      </c>
      <c r="F17" s="1" t="s">
        <v>11</v>
      </c>
    </row>
    <row r="18">
      <c r="A18" s="1">
        <v>17.0</v>
      </c>
      <c r="B18" s="1" t="s">
        <v>8</v>
      </c>
      <c r="C18" s="1" t="s">
        <v>13</v>
      </c>
      <c r="D18" s="1">
        <v>199.0</v>
      </c>
      <c r="E18" s="1">
        <v>5.0</v>
      </c>
      <c r="F18" s="1" t="s">
        <v>9</v>
      </c>
    </row>
    <row r="19">
      <c r="A19" s="1">
        <v>18.0</v>
      </c>
      <c r="B19" s="1" t="s">
        <v>10</v>
      </c>
      <c r="C19" s="1" t="s">
        <v>15</v>
      </c>
      <c r="D19" s="1">
        <v>172.0</v>
      </c>
      <c r="E19" s="1">
        <v>9.0</v>
      </c>
      <c r="F19" s="1" t="s">
        <v>11</v>
      </c>
    </row>
    <row r="20">
      <c r="A20" s="1">
        <v>19.0</v>
      </c>
      <c r="B20" s="1" t="s">
        <v>12</v>
      </c>
      <c r="C20" s="1" t="s">
        <v>14</v>
      </c>
      <c r="D20" s="1">
        <v>208.0</v>
      </c>
      <c r="E20" s="1">
        <v>4.0</v>
      </c>
      <c r="F20" s="1" t="s">
        <v>9</v>
      </c>
    </row>
    <row r="21">
      <c r="A21" s="1">
        <v>20.0</v>
      </c>
      <c r="B21" s="1" t="s">
        <v>7</v>
      </c>
      <c r="C21" s="1" t="s">
        <v>8</v>
      </c>
      <c r="D21" s="1">
        <v>195.0</v>
      </c>
      <c r="E21" s="1">
        <v>6.0</v>
      </c>
      <c r="F21" s="1" t="s">
        <v>11</v>
      </c>
    </row>
    <row r="26" ht="22.5" customHeight="1">
      <c r="A26" s="3" t="s">
        <v>1</v>
      </c>
      <c r="B26" s="3" t="s">
        <v>16</v>
      </c>
      <c r="C26" s="3" t="s">
        <v>17</v>
      </c>
      <c r="D26" s="4" t="s">
        <v>18</v>
      </c>
      <c r="E26" s="5" t="s">
        <v>19</v>
      </c>
    </row>
    <row r="27" ht="22.5" customHeight="1">
      <c r="A27" s="6" t="s">
        <v>7</v>
      </c>
      <c r="B27" s="7">
        <f t="shared" ref="B27:B32" si="1">COUNTIFS(B2:B21,A27,F2:F21,"Win")</f>
        <v>4</v>
      </c>
      <c r="C27" s="7">
        <f t="shared" ref="C27:C32" si="2">COUNTIF(B2:B21,A27)</f>
        <v>6</v>
      </c>
      <c r="D27" s="8">
        <f t="shared" ref="D27:D32" si="3">COUNTIFS(B:B,A27,F:F,"Win") / COUNTIF(B:B,A27)</f>
        <v>0.6666666667</v>
      </c>
      <c r="E27" s="7">
        <f>RANK(D27,Table1[[#ALL],[Win %]],0) + (C27/1000)</f>
        <v>2.006</v>
      </c>
    </row>
    <row r="28" ht="22.5" customHeight="1">
      <c r="A28" s="6" t="s">
        <v>10</v>
      </c>
      <c r="B28" s="7">
        <f t="shared" si="1"/>
        <v>2</v>
      </c>
      <c r="C28" s="7">
        <f t="shared" si="2"/>
        <v>3</v>
      </c>
      <c r="D28" s="8">
        <f t="shared" si="3"/>
        <v>0.6666666667</v>
      </c>
      <c r="E28" s="7">
        <f>RANK(D28,Table1[[#ALL],[Win %]],0) + (C28/1000)</f>
        <v>2.003</v>
      </c>
    </row>
    <row r="29" ht="22.5" customHeight="1">
      <c r="A29" s="6" t="s">
        <v>8</v>
      </c>
      <c r="B29" s="7">
        <f t="shared" si="1"/>
        <v>2</v>
      </c>
      <c r="C29" s="7">
        <f t="shared" si="2"/>
        <v>3</v>
      </c>
      <c r="D29" s="8">
        <f t="shared" si="3"/>
        <v>0.6666666667</v>
      </c>
      <c r="E29" s="7">
        <f>RANK(D29,Table1[[#ALL],[Win %]],0) + (C29/1000)</f>
        <v>2.003</v>
      </c>
    </row>
    <row r="30" ht="22.5" customHeight="1">
      <c r="A30" s="6" t="s">
        <v>12</v>
      </c>
      <c r="B30" s="7">
        <f t="shared" si="1"/>
        <v>1</v>
      </c>
      <c r="C30" s="7">
        <f t="shared" si="2"/>
        <v>3</v>
      </c>
      <c r="D30" s="8">
        <f t="shared" si="3"/>
        <v>0.3333333333</v>
      </c>
      <c r="E30" s="7">
        <f>RANK(D30,Table1[[#ALL],[Win %]],0) + (C30/1000)</f>
        <v>6.003</v>
      </c>
    </row>
    <row r="31" ht="22.5" customHeight="1">
      <c r="A31" s="6" t="s">
        <v>13</v>
      </c>
      <c r="B31" s="7">
        <f t="shared" si="1"/>
        <v>2</v>
      </c>
      <c r="C31" s="7">
        <f t="shared" si="2"/>
        <v>2</v>
      </c>
      <c r="D31" s="8">
        <f t="shared" si="3"/>
        <v>1</v>
      </c>
      <c r="E31" s="7">
        <f>RANK(D31,Table1[[#ALL],[Win %]],0) + (C31/1000)</f>
        <v>1.002</v>
      </c>
    </row>
    <row r="32" ht="22.5" customHeight="1">
      <c r="A32" s="6" t="s">
        <v>14</v>
      </c>
      <c r="B32" s="7">
        <f t="shared" si="1"/>
        <v>1</v>
      </c>
      <c r="C32" s="7">
        <f t="shared" si="2"/>
        <v>2</v>
      </c>
      <c r="D32" s="8">
        <f t="shared" si="3"/>
        <v>0.5</v>
      </c>
      <c r="E32" s="7">
        <f>RANK(D32,Table1[[#ALL],[Win %]],0) + (C32/1000)</f>
        <v>5.002</v>
      </c>
    </row>
  </sheetData>
  <conditionalFormatting sqref="D26">
    <cfRule type="cellIs" dxfId="5" priority="1" operator="greaterThan">
      <formula>0.6</formula>
    </cfRule>
  </conditionalFormatting>
  <conditionalFormatting sqref="D26">
    <cfRule type="cellIs" dxfId="6" priority="2" operator="lessThanOrEqual">
      <formula>"0.4 &amp;&amp; 0.6"</formula>
    </cfRule>
  </conditionalFormatting>
  <conditionalFormatting sqref="D26">
    <cfRule type="cellIs" dxfId="7" priority="3" operator="lessThan">
      <formula>0.4</formula>
    </cfRule>
  </conditionalFormatting>
  <dataValidations>
    <dataValidation type="custom" allowBlank="1" showDropDown="1" sqref="D27:D32">
      <formula1>AND(ISNUMBER(D27),(NOT(OR(NOT(ISERROR(DATEVALUE(D27))), AND(ISNUMBER(D27), LEFT(CELL("format", D27))="D")))))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5.13"/>
    <col customWidth="1" min="4" max="4" width="15.0"/>
    <col customWidth="1" min="5" max="5" width="15.13"/>
    <col customWidth="1" min="7" max="7" width="15.0"/>
    <col customWidth="1" min="8" max="8" width="15.13"/>
    <col customWidth="1" min="10" max="10" width="15.0"/>
    <col customWidth="1" min="16" max="16" width="15.0"/>
    <col customWidth="1" min="17" max="17" width="15.13"/>
    <col customWidth="1" min="19" max="19" width="15.0"/>
    <col customWidth="1" min="20" max="20" width="15.13"/>
    <col customWidth="1" min="22" max="22" width="15.0"/>
    <col customWidth="1" min="23" max="23" width="15.13"/>
    <col customWidth="1" min="25" max="25" width="15.0"/>
  </cols>
  <sheetData>
    <row r="1"/>
    <row r="2"/>
    <row r="3"/>
    <row r="4"/>
    <row r="5"/>
    <row r="6"/>
    <row r="7"/>
    <row r="8"/>
    <row r="9"/>
    <row r="10"/>
    <row r="11"/>
    <row r="16">
      <c r="E16" s="2" t="str">
        <f>"Total Matches = " &amp; COUNTA(A2:A21)</f>
        <v>Total Matches = 9</v>
      </c>
    </row>
  </sheetData>
  <drawing r:id="rId2"/>
</worksheet>
</file>